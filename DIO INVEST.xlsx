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a52d2729438a6e/Desktop/"/>
    </mc:Choice>
  </mc:AlternateContent>
  <xr:revisionPtr revIDLastSave="15" documentId="8_{64742197-5016-4148-8F02-9EBA0683677B}" xr6:coauthVersionLast="47" xr6:coauthVersionMax="47" xr10:uidLastSave="{69D468DC-09F9-4A42-8301-2A4AA3378662}"/>
  <bookViews>
    <workbookView xWindow="-108" yWindow="-108" windowWidth="23256" windowHeight="13896" tabRatio="389" xr2:uid="{22E62CFA-5E95-432D-895F-2D5458862240}"/>
  </bookViews>
  <sheets>
    <sheet name="APP" sheetId="1" r:id="rId1"/>
    <sheet name="Base de dados" sheetId="2" r:id="rId2"/>
  </sheets>
  <definedNames>
    <definedName name="Aporte">APP!$E$19</definedName>
    <definedName name="dividendos_mensais">APP!$E$23</definedName>
    <definedName name="investimento_mensal_A">APP!$C$35</definedName>
    <definedName name="investimento_mensal_B">APP!$D$35</definedName>
    <definedName name="patrimonio">APP!$E$22</definedName>
    <definedName name="patrimonio_final_A">APP!$C$39</definedName>
    <definedName name="patrimonio_final_B">APP!$D$39</definedName>
    <definedName name="Prazo_anos_A">APP!$C$36</definedName>
    <definedName name="Prazo_anos_B">APP!$D$36</definedName>
    <definedName name="qtd_anos">APP!$E$20</definedName>
    <definedName name="Rendimento_carteira">APP!$E$15</definedName>
    <definedName name="salario">APP!$E$14</definedName>
    <definedName name="sugestao_investimento">APP!$E$16</definedName>
    <definedName name="taxa_mensal">APP!$E$21</definedName>
    <definedName name="taxa_mensal_A">APP!$C$37</definedName>
    <definedName name="taxa_mensal_B">APP!$D$37</definedName>
    <definedName name="Total_aportado_A">APP!$C$38</definedName>
    <definedName name="Total_aportado_B">APP!$D$38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1" l="1"/>
  <c r="E29" i="1" s="1"/>
  <c r="D28" i="1"/>
  <c r="E28" i="1" s="1"/>
  <c r="D27" i="1"/>
  <c r="E27" i="1" s="1"/>
  <c r="D31" i="1"/>
  <c r="E31" i="1" s="1"/>
  <c r="D30" i="1"/>
  <c r="D43" i="1"/>
  <c r="E16" i="1"/>
  <c r="C39" i="1"/>
  <c r="C40" i="1" s="1"/>
  <c r="C38" i="1"/>
  <c r="D39" i="1"/>
  <c r="D40" i="1" s="1"/>
  <c r="D38" i="1"/>
  <c r="E22" i="1"/>
  <c r="E23" i="1" s="1"/>
  <c r="E37" i="1" a="1"/>
  <c r="E37" i="1" s="1"/>
  <c r="B10" i="2"/>
  <c r="B16" i="2"/>
  <c r="B17" i="2"/>
  <c r="B18" i="2"/>
  <c r="B19" i="2"/>
  <c r="B20" i="2"/>
  <c r="B15" i="2"/>
  <c r="B11" i="2"/>
  <c r="B12" i="2"/>
  <c r="B13" i="2"/>
  <c r="B14" i="2"/>
  <c r="B9" i="2"/>
  <c r="B8" i="2"/>
  <c r="B4" i="2"/>
  <c r="B5" i="2"/>
  <c r="B6" i="2"/>
  <c r="B7" i="2"/>
  <c r="B3" i="2"/>
  <c r="E30" i="1"/>
  <c r="D49" i="1" l="1"/>
  <c r="E49" i="1" s="1"/>
  <c r="D50" i="1"/>
  <c r="E50" i="1" s="1"/>
  <c r="D48" i="1"/>
  <c r="E48" i="1" s="1"/>
  <c r="D47" i="1"/>
  <c r="E47" i="1" s="1"/>
  <c r="D46" i="1"/>
  <c r="E46" i="1" s="1"/>
  <c r="D51" i="1"/>
  <c r="E51" i="1" s="1"/>
  <c r="E39" i="1" a="1"/>
  <c r="E39" i="1" s="1"/>
  <c r="E52" i="1" l="1"/>
  <c r="E40" i="1" a="1"/>
  <c r="E4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<sst xmlns="http://schemas.openxmlformats.org/spreadsheetml/2006/main" count="80" uniqueCount="41">
  <si>
    <t>Quanto investir por mês?</t>
  </si>
  <si>
    <t>Taxa de rendimento mensal?</t>
  </si>
  <si>
    <t>Patrimônio acumulado?</t>
  </si>
  <si>
    <t>Dividendos mensais?</t>
  </si>
  <si>
    <t>Cenários</t>
  </si>
  <si>
    <t>Configurações</t>
  </si>
  <si>
    <t>Salário</t>
  </si>
  <si>
    <t>Investimento mensal</t>
  </si>
  <si>
    <t>Rendimento Carteira</t>
  </si>
  <si>
    <t>VALOR A SER INVESTIDO POR MÊS</t>
  </si>
  <si>
    <t>PERFIL</t>
  </si>
  <si>
    <t>TIPO DE FII</t>
  </si>
  <si>
    <t>Valores</t>
  </si>
  <si>
    <t>Percentual Sugerido</t>
  </si>
  <si>
    <t>PAPEL</t>
  </si>
  <si>
    <t>TIJOLO</t>
  </si>
  <si>
    <t>HÍBRIDOS</t>
  </si>
  <si>
    <t>DESENVOLVIMENTO</t>
  </si>
  <si>
    <t>HOTELARIAS</t>
  </si>
  <si>
    <t>FOFs</t>
  </si>
  <si>
    <t>Conservador</t>
  </si>
  <si>
    <t>PERCENTUAL</t>
  </si>
  <si>
    <t>CHAVE</t>
  </si>
  <si>
    <t>Moderado</t>
  </si>
  <si>
    <t>Agressivo</t>
  </si>
  <si>
    <t>Sugestão de Investimento (30%)</t>
  </si>
  <si>
    <t>Indicador</t>
  </si>
  <si>
    <t>Cenário A</t>
  </si>
  <si>
    <t>Cenário B</t>
  </si>
  <si>
    <t>Prazo (anos)</t>
  </si>
  <si>
    <t>Taxa mensal</t>
  </si>
  <si>
    <t>Total aportado</t>
  </si>
  <si>
    <t>Patrimônio final</t>
  </si>
  <si>
    <t>Dividendos mensais</t>
  </si>
  <si>
    <t>-</t>
  </si>
  <si>
    <t>Comparador de cenários</t>
  </si>
  <si>
    <t>MODERADO</t>
  </si>
  <si>
    <t>Anos</t>
  </si>
  <si>
    <t>Patrimônio acumulado</t>
  </si>
  <si>
    <t>Melhor Resultado</t>
  </si>
  <si>
    <t>Por quantos anos?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</si>
</sst>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&quot;R$ &quot;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rgb="FFFFFFFF"/>
      <name val="Segoe UI"/>
      <family val="2"/>
    </font>
    <font>
      <b/>
      <sz val="11"/>
      <color rgb="FFFFFFFF"/>
      <name val="Segoe UI"/>
      <family val="2"/>
    </font>
    <font>
      <b/>
      <sz val="20"/>
      <color theme="0"/>
      <name val="Segoe UI"/>
      <family val="2"/>
    </font>
    <font>
      <b/>
      <sz val="20"/>
      <color rgb="FF9C5700"/>
      <name val="Segoe UI"/>
      <family val="2"/>
    </font>
    <font>
      <sz val="12"/>
      <color rgb="FF08373B"/>
      <name val="Segoe UI"/>
      <family val="2"/>
    </font>
    <font>
      <b/>
      <sz val="12"/>
      <color rgb="FF08373B"/>
      <name val="Segoe UI"/>
      <family val="2"/>
    </font>
    <font>
      <b/>
      <sz val="20"/>
      <color rgb="FFFFFFFF"/>
      <name val="Segoe UI"/>
      <family val="2"/>
    </font>
    <font>
      <b/>
      <sz val="12"/>
      <color rgb="FF9C5700"/>
      <name val="Segoe UI"/>
      <family val="2"/>
    </font>
    <font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8373B"/>
        <bgColor rgb="FF003300"/>
      </patternFill>
    </fill>
    <fill>
      <patternFill patternType="solid">
        <fgColor theme="0"/>
        <bgColor rgb="FFF5FAF8"/>
      </patternFill>
    </fill>
    <fill>
      <patternFill patternType="solid">
        <fgColor theme="0"/>
        <bgColor rgb="FFEAF7F2"/>
      </patternFill>
    </fill>
    <fill>
      <patternFill patternType="solid">
        <fgColor theme="0"/>
        <bgColor rgb="FFF2F2F2"/>
      </patternFill>
    </fill>
    <fill>
      <patternFill patternType="solid">
        <fgColor rgb="FF0C544A"/>
        <bgColor indexed="64"/>
      </patternFill>
    </fill>
    <fill>
      <patternFill patternType="solid">
        <fgColor rgb="FF0C544A"/>
        <bgColor rgb="FF196B24"/>
      </patternFill>
    </fill>
    <fill>
      <patternFill patternType="solid">
        <fgColor theme="0" tint="-0.249977111117893"/>
        <bgColor rgb="FF003300"/>
      </patternFill>
    </fill>
    <fill>
      <patternFill patternType="solid">
        <fgColor theme="0" tint="-0.14999847407452621"/>
        <bgColor rgb="FF003300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0" tint="-4.9989318521683403E-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0" tint="-4.9989318521683403E-2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</cellStyleXfs>
  <cellXfs count="100">
    <xf numFmtId="0" fontId="0" fillId="0" borderId="0" xfId="0"/>
    <xf numFmtId="0" fontId="0" fillId="0" borderId="0" xfId="0" applyAlignment="1">
      <alignment vertical="center"/>
    </xf>
    <xf numFmtId="10" fontId="5" fillId="0" borderId="4" xfId="1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6" fillId="0" borderId="4" xfId="0" applyNumberFormat="1" applyFont="1" applyBorder="1" applyAlignment="1">
      <alignment horizontal="center" vertical="center"/>
    </xf>
    <xf numFmtId="8" fontId="6" fillId="2" borderId="4" xfId="0" applyNumberFormat="1" applyFont="1" applyFill="1" applyBorder="1" applyAlignment="1">
      <alignment horizontal="center" vertical="center"/>
    </xf>
    <xf numFmtId="0" fontId="0" fillId="2" borderId="11" xfId="0" applyFill="1" applyBorder="1"/>
    <xf numFmtId="0" fontId="0" fillId="4" borderId="11" xfId="0" applyFill="1" applyBorder="1"/>
    <xf numFmtId="0" fontId="0" fillId="5" borderId="11" xfId="0" applyFill="1" applyBorder="1"/>
    <xf numFmtId="0" fontId="3" fillId="6" borderId="12" xfId="0" applyFont="1" applyFill="1" applyBorder="1"/>
    <xf numFmtId="0" fontId="3" fillId="6" borderId="13" xfId="0" applyFont="1" applyFill="1" applyBorder="1"/>
    <xf numFmtId="0" fontId="3" fillId="6" borderId="14" xfId="0" applyFont="1" applyFill="1" applyBorder="1"/>
    <xf numFmtId="0" fontId="0" fillId="2" borderId="15" xfId="0" applyFill="1" applyBorder="1"/>
    <xf numFmtId="9" fontId="0" fillId="2" borderId="16" xfId="2" applyFont="1" applyFill="1" applyBorder="1"/>
    <xf numFmtId="0" fontId="0" fillId="4" borderId="15" xfId="0" applyFill="1" applyBorder="1"/>
    <xf numFmtId="9" fontId="0" fillId="4" borderId="16" xfId="2" applyFont="1" applyFill="1" applyBorder="1"/>
    <xf numFmtId="0" fontId="0" fillId="5" borderId="15" xfId="0" applyFill="1" applyBorder="1"/>
    <xf numFmtId="9" fontId="0" fillId="5" borderId="16" xfId="2" applyFont="1" applyFill="1" applyBorder="1"/>
    <xf numFmtId="0" fontId="0" fillId="5" borderId="17" xfId="0" applyFill="1" applyBorder="1"/>
    <xf numFmtId="0" fontId="0" fillId="5" borderId="18" xfId="0" applyFill="1" applyBorder="1"/>
    <xf numFmtId="9" fontId="0" fillId="5" borderId="19" xfId="2" applyFont="1" applyFill="1" applyBorder="1"/>
    <xf numFmtId="0" fontId="5" fillId="0" borderId="0" xfId="0" applyFont="1"/>
    <xf numFmtId="0" fontId="9" fillId="7" borderId="6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8" fillId="12" borderId="8" xfId="0" applyFont="1" applyFill="1" applyBorder="1" applyAlignment="1">
      <alignment vertical="center"/>
    </xf>
    <xf numFmtId="0" fontId="8" fillId="12" borderId="2" xfId="0" applyFont="1" applyFill="1" applyBorder="1" applyAlignment="1">
      <alignment vertical="center"/>
    </xf>
    <xf numFmtId="0" fontId="6" fillId="13" borderId="0" xfId="0" applyFont="1" applyFill="1" applyBorder="1" applyAlignment="1">
      <alignment horizontal="center"/>
    </xf>
    <xf numFmtId="0" fontId="6" fillId="14" borderId="0" xfId="0" applyFont="1" applyFill="1" applyBorder="1" applyAlignment="1">
      <alignment horizontal="center"/>
    </xf>
    <xf numFmtId="0" fontId="12" fillId="8" borderId="20" xfId="0" applyFont="1" applyFill="1" applyBorder="1" applyAlignment="1">
      <alignment horizontal="left" indent="3"/>
    </xf>
    <xf numFmtId="164" fontId="4" fillId="0" borderId="9" xfId="1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12" fillId="10" borderId="20" xfId="0" applyFont="1" applyFill="1" applyBorder="1" applyAlignment="1">
      <alignment horizontal="left" indent="3"/>
    </xf>
    <xf numFmtId="1" fontId="4" fillId="9" borderId="9" xfId="0" applyNumberFormat="1" applyFont="1" applyFill="1" applyBorder="1" applyAlignment="1">
      <alignment horizontal="center"/>
    </xf>
    <xf numFmtId="1" fontId="4" fillId="8" borderId="9" xfId="0" applyNumberFormat="1" applyFont="1" applyFill="1" applyBorder="1" applyAlignment="1">
      <alignment horizontal="center"/>
    </xf>
    <xf numFmtId="10" fontId="4" fillId="9" borderId="9" xfId="0" applyNumberFormat="1" applyFont="1" applyFill="1" applyBorder="1" applyAlignment="1">
      <alignment horizontal="center"/>
    </xf>
    <xf numFmtId="10" fontId="4" fillId="8" borderId="9" xfId="0" applyNumberFormat="1" applyFont="1" applyFill="1" applyBorder="1" applyAlignment="1">
      <alignment horizontal="center"/>
    </xf>
    <xf numFmtId="165" fontId="4" fillId="10" borderId="9" xfId="0" applyNumberFormat="1" applyFont="1" applyFill="1" applyBorder="1" applyAlignment="1">
      <alignment horizontal="center"/>
    </xf>
    <xf numFmtId="0" fontId="13" fillId="8" borderId="20" xfId="0" applyFont="1" applyFill="1" applyBorder="1" applyAlignment="1">
      <alignment horizontal="left" indent="3"/>
    </xf>
    <xf numFmtId="165" fontId="4" fillId="8" borderId="9" xfId="0" applyNumberFormat="1" applyFont="1" applyFill="1" applyBorder="1" applyAlignment="1">
      <alignment horizontal="center"/>
    </xf>
    <xf numFmtId="0" fontId="13" fillId="10" borderId="22" xfId="0" applyFont="1" applyFill="1" applyBorder="1" applyAlignment="1">
      <alignment horizontal="left" indent="3"/>
    </xf>
    <xf numFmtId="165" fontId="4" fillId="10" borderId="10" xfId="0" applyNumberFormat="1" applyFont="1" applyFill="1" applyBorder="1" applyAlignment="1">
      <alignment horizontal="center"/>
    </xf>
    <xf numFmtId="0" fontId="14" fillId="12" borderId="1" xfId="0" applyFont="1" applyFill="1" applyBorder="1" applyAlignment="1">
      <alignment vertical="center"/>
    </xf>
    <xf numFmtId="0" fontId="4" fillId="0" borderId="25" xfId="0" applyFont="1" applyBorder="1" applyAlignment="1">
      <alignment horizontal="center"/>
    </xf>
    <xf numFmtId="0" fontId="9" fillId="7" borderId="26" xfId="0" applyFont="1" applyFill="1" applyBorder="1" applyAlignment="1">
      <alignment horizontal="center"/>
    </xf>
    <xf numFmtId="8" fontId="5" fillId="2" borderId="27" xfId="0" applyNumberFormat="1" applyFont="1" applyFill="1" applyBorder="1" applyAlignment="1">
      <alignment horizontal="center" vertical="center"/>
    </xf>
    <xf numFmtId="8" fontId="5" fillId="2" borderId="21" xfId="0" applyNumberFormat="1" applyFont="1" applyFill="1" applyBorder="1" applyAlignment="1">
      <alignment horizontal="center" vertical="center"/>
    </xf>
    <xf numFmtId="8" fontId="5" fillId="2" borderId="25" xfId="0" applyNumberFormat="1" applyFont="1" applyFill="1" applyBorder="1" applyAlignment="1">
      <alignment horizontal="center" vertical="center"/>
    </xf>
    <xf numFmtId="164" fontId="5" fillId="4" borderId="31" xfId="1" applyNumberFormat="1" applyFont="1" applyFill="1" applyBorder="1" applyAlignment="1">
      <alignment horizontal="center" vertical="center"/>
    </xf>
    <xf numFmtId="164" fontId="5" fillId="0" borderId="36" xfId="1" applyNumberFormat="1" applyFont="1" applyBorder="1" applyAlignment="1">
      <alignment horizontal="center" vertical="center"/>
    </xf>
    <xf numFmtId="8" fontId="6" fillId="2" borderId="31" xfId="0" applyNumberFormat="1" applyFont="1" applyFill="1" applyBorder="1" applyAlignment="1">
      <alignment horizontal="center" vertical="center"/>
    </xf>
    <xf numFmtId="8" fontId="5" fillId="2" borderId="42" xfId="0" applyNumberFormat="1" applyFont="1" applyFill="1" applyBorder="1" applyAlignment="1">
      <alignment horizontal="center" vertical="center"/>
    </xf>
    <xf numFmtId="0" fontId="9" fillId="7" borderId="44" xfId="0" applyFont="1" applyFill="1" applyBorder="1" applyAlignment="1">
      <alignment horizontal="center"/>
    </xf>
    <xf numFmtId="0" fontId="4" fillId="0" borderId="0" xfId="0" applyFont="1" applyBorder="1"/>
    <xf numFmtId="0" fontId="7" fillId="4" borderId="49" xfId="0" applyFont="1" applyFill="1" applyBorder="1" applyAlignment="1">
      <alignment horizontal="center"/>
    </xf>
    <xf numFmtId="9" fontId="4" fillId="0" borderId="49" xfId="0" applyNumberFormat="1" applyFont="1" applyBorder="1" applyAlignment="1">
      <alignment horizontal="center"/>
    </xf>
    <xf numFmtId="164" fontId="4" fillId="15" borderId="49" xfId="0" applyNumberFormat="1" applyFont="1" applyFill="1" applyBorder="1" applyAlignment="1">
      <alignment horizontal="center"/>
    </xf>
    <xf numFmtId="9" fontId="4" fillId="4" borderId="49" xfId="0" applyNumberFormat="1" applyFont="1" applyFill="1" applyBorder="1" applyAlignment="1">
      <alignment horizontal="center"/>
    </xf>
    <xf numFmtId="164" fontId="4" fillId="4" borderId="49" xfId="0" applyNumberFormat="1" applyFont="1" applyFill="1" applyBorder="1" applyAlignment="1">
      <alignment horizontal="center"/>
    </xf>
    <xf numFmtId="164" fontId="7" fillId="2" borderId="43" xfId="0" applyNumberFormat="1" applyFont="1" applyFill="1" applyBorder="1" applyAlignment="1">
      <alignment horizontal="center"/>
    </xf>
    <xf numFmtId="9" fontId="4" fillId="4" borderId="48" xfId="0" applyNumberFormat="1" applyFont="1" applyFill="1" applyBorder="1" applyAlignment="1">
      <alignment horizontal="center"/>
    </xf>
    <xf numFmtId="0" fontId="4" fillId="2" borderId="51" xfId="0" applyFont="1" applyFill="1" applyBorder="1"/>
    <xf numFmtId="0" fontId="16" fillId="0" borderId="0" xfId="0" applyFont="1"/>
    <xf numFmtId="8" fontId="5" fillId="2" borderId="53" xfId="0" applyNumberFormat="1" applyFont="1" applyFill="1" applyBorder="1" applyAlignment="1">
      <alignment horizontal="center" vertical="center"/>
    </xf>
    <xf numFmtId="0" fontId="4" fillId="4" borderId="49" xfId="0" applyFont="1" applyFill="1" applyBorder="1" applyAlignment="1">
      <alignment horizontal="center"/>
    </xf>
    <xf numFmtId="0" fontId="4" fillId="2" borderId="48" xfId="0" applyFont="1" applyFill="1" applyBorder="1" applyAlignment="1">
      <alignment horizontal="center"/>
    </xf>
    <xf numFmtId="0" fontId="4" fillId="2" borderId="50" xfId="0" applyFont="1" applyFill="1" applyBorder="1" applyAlignment="1">
      <alignment horizontal="center"/>
    </xf>
    <xf numFmtId="0" fontId="7" fillId="4" borderId="49" xfId="0" applyFont="1" applyFill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15" fillId="3" borderId="32" xfId="3" applyFont="1" applyBorder="1" applyAlignment="1">
      <alignment horizontal="center"/>
    </xf>
    <xf numFmtId="164" fontId="7" fillId="4" borderId="32" xfId="0" applyNumberFormat="1" applyFont="1" applyFill="1" applyBorder="1" applyAlignment="1">
      <alignment horizontal="center"/>
    </xf>
    <xf numFmtId="0" fontId="15" fillId="3" borderId="32" xfId="3" applyFont="1" applyBorder="1" applyAlignment="1">
      <alignment horizontal="left" indent="3"/>
    </xf>
    <xf numFmtId="0" fontId="7" fillId="4" borderId="32" xfId="0" applyFont="1" applyFill="1" applyBorder="1" applyAlignment="1">
      <alignment horizontal="left" indent="3"/>
    </xf>
    <xf numFmtId="0" fontId="11" fillId="3" borderId="23" xfId="3" applyFont="1" applyBorder="1" applyAlignment="1">
      <alignment horizontal="left" vertical="center"/>
    </xf>
    <xf numFmtId="0" fontId="11" fillId="3" borderId="33" xfId="3" applyFont="1" applyBorder="1" applyAlignment="1">
      <alignment horizontal="left" vertical="center"/>
    </xf>
    <xf numFmtId="0" fontId="11" fillId="3" borderId="24" xfId="3" applyFont="1" applyBorder="1" applyAlignment="1">
      <alignment horizontal="left" vertical="center"/>
    </xf>
    <xf numFmtId="0" fontId="4" fillId="0" borderId="28" xfId="0" applyFont="1" applyBorder="1" applyAlignment="1">
      <alignment horizontal="left" indent="3"/>
    </xf>
    <xf numFmtId="0" fontId="4" fillId="0" borderId="29" xfId="0" applyFont="1" applyBorder="1" applyAlignment="1">
      <alignment horizontal="left" indent="3"/>
    </xf>
    <xf numFmtId="0" fontId="4" fillId="0" borderId="30" xfId="0" applyFont="1" applyBorder="1" applyAlignment="1">
      <alignment horizontal="left" indent="3"/>
    </xf>
    <xf numFmtId="0" fontId="7" fillId="2" borderId="28" xfId="0" applyFont="1" applyFill="1" applyBorder="1" applyAlignment="1">
      <alignment horizontal="left" indent="3"/>
    </xf>
    <xf numFmtId="0" fontId="7" fillId="2" borderId="29" xfId="0" applyFont="1" applyFill="1" applyBorder="1" applyAlignment="1">
      <alignment horizontal="left" indent="3"/>
    </xf>
    <xf numFmtId="0" fontId="7" fillId="2" borderId="30" xfId="0" applyFont="1" applyFill="1" applyBorder="1" applyAlignment="1">
      <alignment horizontal="left" indent="3"/>
    </xf>
    <xf numFmtId="0" fontId="10" fillId="11" borderId="1" xfId="0" applyFont="1" applyFill="1" applyBorder="1" applyAlignment="1">
      <alignment horizontal="left" vertical="center"/>
    </xf>
    <xf numFmtId="0" fontId="10" fillId="11" borderId="8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left" vertical="center"/>
    </xf>
    <xf numFmtId="0" fontId="7" fillId="2" borderId="39" xfId="0" applyFont="1" applyFill="1" applyBorder="1" applyAlignment="1">
      <alignment horizontal="left" indent="3"/>
    </xf>
    <xf numFmtId="0" fontId="7" fillId="2" borderId="40" xfId="0" applyFont="1" applyFill="1" applyBorder="1" applyAlignment="1">
      <alignment horizontal="left" indent="3"/>
    </xf>
    <xf numFmtId="0" fontId="7" fillId="2" borderId="41" xfId="0" applyFont="1" applyFill="1" applyBorder="1" applyAlignment="1">
      <alignment horizontal="left" indent="3"/>
    </xf>
    <xf numFmtId="0" fontId="4" fillId="2" borderId="45" xfId="0" applyFont="1" applyFill="1" applyBorder="1" applyAlignment="1">
      <alignment horizontal="center"/>
    </xf>
    <xf numFmtId="0" fontId="4" fillId="2" borderId="42" xfId="0" applyFont="1" applyFill="1" applyBorder="1" applyAlignment="1">
      <alignment horizontal="center"/>
    </xf>
    <xf numFmtId="0" fontId="4" fillId="2" borderId="52" xfId="0" applyFont="1" applyFill="1" applyBorder="1" applyAlignment="1">
      <alignment horizontal="center"/>
    </xf>
    <xf numFmtId="0" fontId="4" fillId="2" borderId="53" xfId="0" applyFont="1" applyFill="1" applyBorder="1" applyAlignment="1">
      <alignment horizontal="center"/>
    </xf>
    <xf numFmtId="0" fontId="9" fillId="7" borderId="46" xfId="0" applyFont="1" applyFill="1" applyBorder="1" applyAlignment="1">
      <alignment horizontal="center"/>
    </xf>
    <xf numFmtId="0" fontId="9" fillId="7" borderId="47" xfId="0" applyFont="1" applyFill="1" applyBorder="1" applyAlignment="1">
      <alignment horizontal="center"/>
    </xf>
    <xf numFmtId="0" fontId="4" fillId="4" borderId="34" xfId="0" applyFont="1" applyFill="1" applyBorder="1" applyAlignment="1">
      <alignment horizontal="left" indent="3"/>
    </xf>
    <xf numFmtId="0" fontId="4" fillId="4" borderId="35" xfId="0" applyFont="1" applyFill="1" applyBorder="1" applyAlignment="1">
      <alignment horizontal="left" indent="3"/>
    </xf>
    <xf numFmtId="0" fontId="4" fillId="4" borderId="3" xfId="0" applyFont="1" applyFill="1" applyBorder="1" applyAlignment="1">
      <alignment horizontal="left" indent="3"/>
    </xf>
    <xf numFmtId="0" fontId="4" fillId="4" borderId="5" xfId="0" applyFont="1" applyFill="1" applyBorder="1" applyAlignment="1">
      <alignment horizontal="left" indent="3"/>
    </xf>
    <xf numFmtId="0" fontId="4" fillId="4" borderId="37" xfId="0" applyFont="1" applyFill="1" applyBorder="1" applyAlignment="1">
      <alignment horizontal="left" indent="3"/>
    </xf>
    <xf numFmtId="0" fontId="4" fillId="4" borderId="3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2"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C544A"/>
      <color rgb="FFFCE170"/>
      <color rgb="FF1E5C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 b="0" i="0" u="none" strike="noStrike" baseline="0">
                <a:effectLst/>
              </a:rPr>
              <a:t>Distribuição do Investimento por Perfil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APP!$D$45</c:f>
              <c:strCache>
                <c:ptCount val="1"/>
                <c:pt idx="0">
                  <c:v>Percentual Sugerido</c:v>
                </c:pt>
              </c:strCache>
            </c:strRef>
          </c:tx>
          <c:spPr>
            <a:gradFill flip="none" rotWithShape="1">
              <a:gsLst>
                <a:gs pos="0">
                  <a:schemeClr val="tx1">
                    <a:tint val="66000"/>
                    <a:satMod val="160000"/>
                  </a:schemeClr>
                </a:gs>
                <a:gs pos="50000">
                  <a:schemeClr val="tx1">
                    <a:tint val="44500"/>
                    <a:satMod val="160000"/>
                  </a:schemeClr>
                </a:gs>
                <a:gs pos="100000">
                  <a:schemeClr val="tx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APP!$B$46:$B$51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APP!$D$46:$D$51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2E-4606-8A5E-B43D0FC90C1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931016575"/>
        <c:axId val="19310151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APP!$C$45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>
                    <a:gsLst>
                      <a:gs pos="0">
                        <a:schemeClr val="accent1"/>
                      </a:gs>
                      <a:gs pos="100000">
                        <a:schemeClr val="accent1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APP!$B$46:$B$51</c15:sqref>
                        </c15:formulaRef>
                      </c:ext>
                    </c:extLst>
                    <c:strCache>
                      <c:ptCount val="6"/>
                      <c:pt idx="0">
                        <c:v>PAPEL</c:v>
                      </c:pt>
                      <c:pt idx="1">
                        <c:v>TIJOLO</c:v>
                      </c:pt>
                      <c:pt idx="2">
                        <c:v>HÍBRIDOS</c:v>
                      </c:pt>
                      <c:pt idx="3">
                        <c:v>FOFs</c:v>
                      </c:pt>
                      <c:pt idx="4">
                        <c:v>DESENVOLVIMENTO</c:v>
                      </c:pt>
                      <c:pt idx="5">
                        <c:v>HOTELARIAS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APP!$C$46:$C$51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E2E-4606-8A5E-B43D0FC90C1F}"/>
                  </c:ext>
                </c:extLst>
              </c15:ser>
            </c15:filteredBarSeries>
          </c:ext>
        </c:extLst>
      </c:barChart>
      <c:catAx>
        <c:axId val="193101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1015135"/>
        <c:crosses val="autoZero"/>
        <c:auto val="1"/>
        <c:lblAlgn val="ctr"/>
        <c:lblOffset val="100"/>
        <c:noMultiLvlLbl val="0"/>
      </c:catAx>
      <c:valAx>
        <c:axId val="193101513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3101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377943</xdr:colOff>
      <xdr:row>0</xdr:row>
      <xdr:rowOff>48096</xdr:rowOff>
    </xdr:from>
    <xdr:ext cx="7655983" cy="1943100"/>
    <xdr:pic>
      <xdr:nvPicPr>
        <xdr:cNvPr id="3" name="44692d70-fe8e-4719-ac4e-37caadf5dd02">
          <a:extLst>
            <a:ext uri="{FF2B5EF4-FFF2-40B4-BE49-F238E27FC236}">
              <a16:creationId xmlns:a16="http://schemas.microsoft.com/office/drawing/2014/main" id="{68085FB5-32B9-45B7-90CE-77413F906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943" y="48096"/>
          <a:ext cx="7655983" cy="1943100"/>
        </a:xfrm>
        <a:prstGeom prst="rect">
          <a:avLst/>
        </a:prstGeom>
      </xdr:spPr>
    </xdr:pic>
    <xdr:clientData/>
  </xdr:oneCellAnchor>
  <xdr:twoCellAnchor>
    <xdr:from>
      <xdr:col>1</xdr:col>
      <xdr:colOff>9407</xdr:colOff>
      <xdr:row>52</xdr:row>
      <xdr:rowOff>105363</xdr:rowOff>
    </xdr:from>
    <xdr:to>
      <xdr:col>4</xdr:col>
      <xdr:colOff>1853258</xdr:colOff>
      <xdr:row>71</xdr:row>
      <xdr:rowOff>141111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63A2CD-4657-A349-BC04-92EBE3D66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CC4D-DAB9-4014-92A3-48CDD7F84650}">
  <dimension ref="A12:XFC52"/>
  <sheetViews>
    <sheetView showGridLines="0" tabSelected="1" topLeftCell="A33" zoomScale="81" zoomScaleNormal="80" workbookViewId="0">
      <selection activeCell="F21" sqref="F21"/>
    </sheetView>
  </sheetViews>
  <sheetFormatPr defaultColWidth="0" defaultRowHeight="14.4" x14ac:dyDescent="0.3"/>
  <cols>
    <col min="1" max="1" width="6.33203125" customWidth="1"/>
    <col min="2" max="2" width="36.33203125" customWidth="1"/>
    <col min="3" max="3" width="22.21875" customWidth="1"/>
    <col min="4" max="4" width="24.6640625" customWidth="1"/>
    <col min="5" max="5" width="27.33203125" customWidth="1"/>
    <col min="6" max="6" width="13.6640625" customWidth="1"/>
    <col min="7" max="7" width="17.33203125" hidden="1"/>
    <col min="8" max="8" width="12.21875" hidden="1"/>
    <col min="9" max="9" width="11.6640625" hidden="1"/>
    <col min="10" max="10" width="10.33203125" hidden="1"/>
    <col min="11" max="11" width="9.21875" hidden="1"/>
    <col min="12" max="16381" width="8.88671875" hidden="1"/>
    <col min="16382" max="16382" width="0.109375" hidden="1"/>
    <col min="16383" max="16383" width="11.88671875" hidden="1"/>
    <col min="16384" max="16384" width="1.33203125" hidden="1"/>
  </cols>
  <sheetData>
    <row r="12" spans="2:5" ht="15" thickBot="1" x14ac:dyDescent="0.35"/>
    <row r="13" spans="2:5" ht="30" thickBot="1" x14ac:dyDescent="0.35">
      <c r="B13" s="73" t="s">
        <v>5</v>
      </c>
      <c r="C13" s="74"/>
      <c r="D13" s="74"/>
      <c r="E13" s="75"/>
    </row>
    <row r="14" spans="2:5" ht="19.2" x14ac:dyDescent="0.45">
      <c r="B14" s="94" t="s">
        <v>6</v>
      </c>
      <c r="C14" s="95"/>
      <c r="D14" s="95"/>
      <c r="E14" s="49">
        <v>5000</v>
      </c>
    </row>
    <row r="15" spans="2:5" ht="19.2" x14ac:dyDescent="0.45">
      <c r="B15" s="96" t="s">
        <v>8</v>
      </c>
      <c r="C15" s="97"/>
      <c r="D15" s="97"/>
      <c r="E15" s="2">
        <v>6.0000000000000001E-3</v>
      </c>
    </row>
    <row r="16" spans="2:5" ht="19.8" thickBot="1" x14ac:dyDescent="0.5">
      <c r="B16" s="98" t="s">
        <v>25</v>
      </c>
      <c r="C16" s="99"/>
      <c r="D16" s="99"/>
      <c r="E16" s="48">
        <f>salario*30%</f>
        <v>1500</v>
      </c>
    </row>
    <row r="17" spans="1:7" ht="15" thickBot="1" x14ac:dyDescent="0.35"/>
    <row r="18" spans="1:7" s="1" customFormat="1" ht="36" customHeight="1" x14ac:dyDescent="0.3">
      <c r="B18" s="82" t="s">
        <v>7</v>
      </c>
      <c r="C18" s="83"/>
      <c r="D18" s="83"/>
      <c r="E18" s="84"/>
      <c r="G18"/>
    </row>
    <row r="19" spans="1:7" ht="19.2" x14ac:dyDescent="0.45">
      <c r="B19" s="76" t="s">
        <v>0</v>
      </c>
      <c r="C19" s="77"/>
      <c r="D19" s="78"/>
      <c r="E19" s="3">
        <v>1500</v>
      </c>
    </row>
    <row r="20" spans="1:7" ht="19.2" x14ac:dyDescent="0.45">
      <c r="A20" s="62"/>
      <c r="B20" s="76" t="s">
        <v>40</v>
      </c>
      <c r="C20" s="77"/>
      <c r="D20" s="78"/>
      <c r="E20" s="4">
        <v>5</v>
      </c>
    </row>
    <row r="21" spans="1:7" ht="19.2" x14ac:dyDescent="0.45">
      <c r="A21" s="62"/>
      <c r="B21" s="76" t="s">
        <v>1</v>
      </c>
      <c r="C21" s="77"/>
      <c r="D21" s="78"/>
      <c r="E21" s="5">
        <v>1.0789999999999999E-2</v>
      </c>
    </row>
    <row r="22" spans="1:7" ht="19.2" x14ac:dyDescent="0.45">
      <c r="A22" s="62"/>
      <c r="B22" s="79" t="s">
        <v>2</v>
      </c>
      <c r="C22" s="80"/>
      <c r="D22" s="81"/>
      <c r="E22" s="6">
        <f>FV(taxa_mensal,qtd_anos*12,Aporte*-1)</f>
        <v>125665.37099773147</v>
      </c>
    </row>
    <row r="23" spans="1:7" ht="19.8" thickBot="1" x14ac:dyDescent="0.5">
      <c r="A23" s="62"/>
      <c r="B23" s="85" t="s">
        <v>3</v>
      </c>
      <c r="C23" s="86"/>
      <c r="D23" s="87"/>
      <c r="E23" s="50">
        <f>patrimonio*Rendimento_carteira</f>
        <v>753.9922259863888</v>
      </c>
    </row>
    <row r="24" spans="1:7" ht="15" thickBot="1" x14ac:dyDescent="0.35">
      <c r="A24" s="62"/>
    </row>
    <row r="25" spans="1:7" ht="29.4" x14ac:dyDescent="0.3">
      <c r="A25" s="62"/>
      <c r="B25" s="82" t="s">
        <v>4</v>
      </c>
      <c r="C25" s="83"/>
      <c r="D25" s="83"/>
      <c r="E25" s="84"/>
    </row>
    <row r="26" spans="1:7" ht="15" customHeight="1" x14ac:dyDescent="0.4">
      <c r="A26" s="62"/>
      <c r="B26" s="92" t="s">
        <v>37</v>
      </c>
      <c r="C26" s="93"/>
      <c r="D26" s="52" t="s">
        <v>38</v>
      </c>
      <c r="E26" s="44" t="s">
        <v>33</v>
      </c>
    </row>
    <row r="27" spans="1:7" ht="19.2" x14ac:dyDescent="0.45">
      <c r="A27" s="62"/>
      <c r="B27" s="88">
        <v>2</v>
      </c>
      <c r="C27" s="89"/>
      <c r="D27" s="51">
        <f>FV(taxa_mensal,$B27*12,Aporte*-1)</f>
        <v>40841.440946467825</v>
      </c>
      <c r="E27" s="45">
        <f>D27*Rendimento_carteira</f>
        <v>245.04864567880696</v>
      </c>
    </row>
    <row r="28" spans="1:7" ht="19.2" x14ac:dyDescent="0.45">
      <c r="A28" s="62"/>
      <c r="B28" s="88">
        <v>5</v>
      </c>
      <c r="C28" s="89"/>
      <c r="D28" s="51">
        <f>FV(taxa_mensal,$B28*12,Aporte*-1)</f>
        <v>125665.37099773147</v>
      </c>
      <c r="E28" s="46">
        <f>D28*Rendimento_carteira</f>
        <v>753.9922259863888</v>
      </c>
    </row>
    <row r="29" spans="1:7" ht="19.2" x14ac:dyDescent="0.45">
      <c r="A29" s="62"/>
      <c r="B29" s="88">
        <v>10</v>
      </c>
      <c r="C29" s="89"/>
      <c r="D29" s="51">
        <f>FV(taxa_mensal,$B29*12,Aporte*-1)</f>
        <v>364926.3187952583</v>
      </c>
      <c r="E29" s="46">
        <f>D29*Rendimento_carteira</f>
        <v>2189.55791277155</v>
      </c>
    </row>
    <row r="30" spans="1:7" ht="19.2" x14ac:dyDescent="0.45">
      <c r="A30" s="62"/>
      <c r="B30" s="88">
        <v>20</v>
      </c>
      <c r="C30" s="89"/>
      <c r="D30" s="51">
        <f>FV(taxa_mensal,$B30*12,Aporte*-1)</f>
        <v>1687797.600145621</v>
      </c>
      <c r="E30" s="46">
        <f>D30*Rendimento_carteira</f>
        <v>10126.785600873725</v>
      </c>
    </row>
    <row r="31" spans="1:7" ht="19.8" thickBot="1" x14ac:dyDescent="0.5">
      <c r="A31" s="62"/>
      <c r="B31" s="90">
        <v>30</v>
      </c>
      <c r="C31" s="91"/>
      <c r="D31" s="63">
        <f>FV(taxa_mensal,$B31*12,Aporte*-1)</f>
        <v>6483254.4825070715</v>
      </c>
      <c r="E31" s="47">
        <f>D31*Rendimento_carteira</f>
        <v>38899.526895042429</v>
      </c>
    </row>
    <row r="32" spans="1:7" ht="15" thickBot="1" x14ac:dyDescent="0.35">
      <c r="A32" s="62"/>
    </row>
    <row r="33" spans="1:5" ht="29.4" x14ac:dyDescent="0.3">
      <c r="A33" s="62"/>
      <c r="B33" s="42" t="s">
        <v>35</v>
      </c>
      <c r="C33" s="25"/>
      <c r="D33" s="25"/>
      <c r="E33" s="26"/>
    </row>
    <row r="34" spans="1:5" ht="16.8" x14ac:dyDescent="0.4">
      <c r="A34" s="62"/>
      <c r="B34" s="23" t="s">
        <v>26</v>
      </c>
      <c r="C34" s="27" t="s">
        <v>27</v>
      </c>
      <c r="D34" s="28" t="s">
        <v>28</v>
      </c>
      <c r="E34" s="24" t="s">
        <v>39</v>
      </c>
    </row>
    <row r="35" spans="1:5" ht="19.2" x14ac:dyDescent="0.45">
      <c r="A35" s="62"/>
      <c r="B35" s="29" t="s">
        <v>7</v>
      </c>
      <c r="C35" s="30">
        <v>1500</v>
      </c>
      <c r="D35" s="30">
        <v>1500</v>
      </c>
      <c r="E35" s="31" t="s">
        <v>34</v>
      </c>
    </row>
    <row r="36" spans="1:5" ht="19.2" x14ac:dyDescent="0.45">
      <c r="A36" s="62"/>
      <c r="B36" s="32" t="s">
        <v>29</v>
      </c>
      <c r="C36" s="33">
        <v>2</v>
      </c>
      <c r="D36" s="34">
        <v>5</v>
      </c>
      <c r="E36" s="31" t="s">
        <v>34</v>
      </c>
    </row>
    <row r="37" spans="1:5" ht="19.2" x14ac:dyDescent="0.45">
      <c r="A37" s="62"/>
      <c r="B37" s="29" t="s">
        <v>30</v>
      </c>
      <c r="C37" s="35">
        <v>1.0800000000000001E-2</v>
      </c>
      <c r="D37" s="36">
        <v>1.0800000000000001E-2</v>
      </c>
      <c r="E37" s="31" t="str" cm="1">
        <f t="array" ref="E37">_xlfn.IFS(C37&gt;D37,"Cenário A",C37&lt;D37,"Cenário B",C37=D37,"Igual")</f>
        <v>Igual</v>
      </c>
    </row>
    <row r="38" spans="1:5" ht="19.2" x14ac:dyDescent="0.45">
      <c r="A38" s="62"/>
      <c r="B38" s="32" t="s">
        <v>31</v>
      </c>
      <c r="C38" s="37">
        <f>investimento_mensal_A*Prazo_anos_A*12</f>
        <v>36000</v>
      </c>
      <c r="D38" s="37">
        <f>investimento_mensal_B*Prazo_anos_B*12</f>
        <v>90000</v>
      </c>
      <c r="E38" s="31" t="s">
        <v>34</v>
      </c>
    </row>
    <row r="39" spans="1:5" ht="19.2" x14ac:dyDescent="0.45">
      <c r="A39" s="62"/>
      <c r="B39" s="38" t="s">
        <v>32</v>
      </c>
      <c r="C39" s="39">
        <f>FV(taxa_mensal_A,Prazo_anos_A*12,investimento_mensal_A*-1)</f>
        <v>40846.295490872384</v>
      </c>
      <c r="D39" s="39">
        <f>FV(taxa_mensal_B,Prazo_anos_B*12,investimento_mensal_B*-1)</f>
        <v>125706.02903888765</v>
      </c>
      <c r="E39" s="31" t="str" cm="1">
        <f t="array" ref="E39">_xlfn.IFS(C39&gt;D39,"Cenário A",C39&lt;D39,"Cenário B",C39=D39,"Igual")</f>
        <v>Cenário B</v>
      </c>
    </row>
    <row r="40" spans="1:5" ht="19.8" thickBot="1" x14ac:dyDescent="0.5">
      <c r="A40" s="62"/>
      <c r="B40" s="40" t="s">
        <v>33</v>
      </c>
      <c r="C40" s="41">
        <f>patrimonio_final_A*Rendimento_carteira</f>
        <v>245.0777729452343</v>
      </c>
      <c r="D40" s="41">
        <f>patrimonio_final_B*Rendimento_carteira</f>
        <v>754.23617423332587</v>
      </c>
      <c r="E40" s="43" t="str" cm="1">
        <f t="array" ref="E40">_xlfn.IFS(C40&gt;D40,"Cenário A",C40&lt;D40,"Cenário B",C40=D40,"Igual")</f>
        <v>Cenário B</v>
      </c>
    </row>
    <row r="41" spans="1:5" ht="16.8" x14ac:dyDescent="0.4">
      <c r="A41" s="62"/>
      <c r="B41" s="22"/>
      <c r="C41" s="22"/>
      <c r="D41" s="22"/>
      <c r="E41" s="22"/>
    </row>
    <row r="42" spans="1:5" ht="19.2" x14ac:dyDescent="0.45">
      <c r="A42" s="62"/>
      <c r="B42" s="71" t="s">
        <v>10</v>
      </c>
      <c r="C42" s="71"/>
      <c r="D42" s="69" t="s">
        <v>36</v>
      </c>
      <c r="E42" s="69"/>
    </row>
    <row r="43" spans="1:5" ht="19.2" x14ac:dyDescent="0.45">
      <c r="A43" s="62"/>
      <c r="B43" s="72" t="s">
        <v>9</v>
      </c>
      <c r="C43" s="72"/>
      <c r="D43" s="70">
        <f>Aporte</f>
        <v>1500</v>
      </c>
      <c r="E43" s="70"/>
    </row>
    <row r="44" spans="1:5" ht="19.2" x14ac:dyDescent="0.45">
      <c r="B44" s="53"/>
      <c r="C44" s="53"/>
      <c r="D44" s="53"/>
      <c r="E44" s="53"/>
    </row>
    <row r="45" spans="1:5" ht="19.2" x14ac:dyDescent="0.45">
      <c r="B45" s="67" t="s">
        <v>11</v>
      </c>
      <c r="C45" s="67"/>
      <c r="D45" s="54" t="s">
        <v>13</v>
      </c>
      <c r="E45" s="54" t="s">
        <v>12</v>
      </c>
    </row>
    <row r="46" spans="1:5" ht="19.2" x14ac:dyDescent="0.45">
      <c r="B46" s="68" t="s">
        <v>14</v>
      </c>
      <c r="C46" s="68"/>
      <c r="D46" s="55">
        <f>VLOOKUP($D$42&amp;"-"&amp;B46,'Base de dados'!B:E,4,)</f>
        <v>0.32</v>
      </c>
      <c r="E46" s="56">
        <f>Aporte*D46</f>
        <v>480</v>
      </c>
    </row>
    <row r="47" spans="1:5" ht="19.2" x14ac:dyDescent="0.45">
      <c r="B47" s="64" t="s">
        <v>15</v>
      </c>
      <c r="C47" s="64"/>
      <c r="D47" s="57">
        <f>VLOOKUP($D$42&amp;"-"&amp;B47,'Base de dados'!B:E,4,)</f>
        <v>0.35</v>
      </c>
      <c r="E47" s="58">
        <f t="shared" ref="E47:E51" si="0">Aporte*D47</f>
        <v>525</v>
      </c>
    </row>
    <row r="48" spans="1:5" ht="19.2" x14ac:dyDescent="0.45">
      <c r="B48" s="68" t="s">
        <v>16</v>
      </c>
      <c r="C48" s="68"/>
      <c r="D48" s="55">
        <f>VLOOKUP($D$42&amp;"-"&amp;B48,'Base de dados'!B:E,4,)</f>
        <v>0.08</v>
      </c>
      <c r="E48" s="56">
        <f t="shared" si="0"/>
        <v>120</v>
      </c>
    </row>
    <row r="49" spans="2:5" ht="19.2" x14ac:dyDescent="0.45">
      <c r="B49" s="64" t="s">
        <v>19</v>
      </c>
      <c r="C49" s="64"/>
      <c r="D49" s="57">
        <f>VLOOKUP($D$42&amp;"-"&amp;B49,'Base de dados'!B:E,4,)</f>
        <v>0.05</v>
      </c>
      <c r="E49" s="58">
        <f t="shared" si="0"/>
        <v>75</v>
      </c>
    </row>
    <row r="50" spans="2:5" ht="19.2" x14ac:dyDescent="0.45">
      <c r="B50" s="68" t="s">
        <v>17</v>
      </c>
      <c r="C50" s="68"/>
      <c r="D50" s="55">
        <f>VLOOKUP($D$42&amp;"-"&amp;B50,'Base de dados'!B:E,4,)</f>
        <v>0.1</v>
      </c>
      <c r="E50" s="56">
        <f t="shared" si="0"/>
        <v>150</v>
      </c>
    </row>
    <row r="51" spans="2:5" ht="19.2" x14ac:dyDescent="0.45">
      <c r="B51" s="64" t="s">
        <v>18</v>
      </c>
      <c r="C51" s="64"/>
      <c r="D51" s="60">
        <f>VLOOKUP($D$42&amp;"-"&amp;B51,'Base de dados'!B:E,4,)</f>
        <v>0.1</v>
      </c>
      <c r="E51" s="58">
        <f t="shared" si="0"/>
        <v>150</v>
      </c>
    </row>
    <row r="52" spans="2:5" ht="19.2" x14ac:dyDescent="0.45">
      <c r="B52" s="65"/>
      <c r="C52" s="66"/>
      <c r="D52" s="61"/>
      <c r="E52" s="59">
        <f>SUM(E46:E51)</f>
        <v>1500</v>
      </c>
    </row>
  </sheetData>
  <mergeCells count="29">
    <mergeCell ref="B25:E25"/>
    <mergeCell ref="B26:C26"/>
    <mergeCell ref="B14:D14"/>
    <mergeCell ref="B15:D15"/>
    <mergeCell ref="B16:D16"/>
    <mergeCell ref="D42:E42"/>
    <mergeCell ref="D43:E43"/>
    <mergeCell ref="B42:C42"/>
    <mergeCell ref="B43:C43"/>
    <mergeCell ref="B13:E13"/>
    <mergeCell ref="B20:D20"/>
    <mergeCell ref="B19:D19"/>
    <mergeCell ref="B21:D21"/>
    <mergeCell ref="B22:D22"/>
    <mergeCell ref="B18:E18"/>
    <mergeCell ref="B23:D23"/>
    <mergeCell ref="B27:C27"/>
    <mergeCell ref="B28:C28"/>
    <mergeCell ref="B29:C29"/>
    <mergeCell ref="B30:C30"/>
    <mergeCell ref="B31:C31"/>
    <mergeCell ref="B51:C51"/>
    <mergeCell ref="B52:C52"/>
    <mergeCell ref="B45:C45"/>
    <mergeCell ref="B46:C46"/>
    <mergeCell ref="B47:C47"/>
    <mergeCell ref="B48:C48"/>
    <mergeCell ref="B49:C49"/>
    <mergeCell ref="B50:C50"/>
  </mergeCells>
  <conditionalFormatting sqref="D37:E37 D39:E40">
    <cfRule type="expression" dxfId="1" priority="1" stopIfTrue="1">
      <formula>$D37&gt;$C37</formula>
    </cfRule>
  </conditionalFormatting>
  <conditionalFormatting sqref="E37 E39:E40 C37 C39:C40">
    <cfRule type="expression" dxfId="0" priority="2" stopIfTrue="1">
      <formula>$C37&gt;$D37</formula>
    </cfRule>
  </conditionalFormatting>
  <dataValidations count="2">
    <dataValidation type="list" allowBlank="1" showInputMessage="1" showErrorMessage="1" sqref="D42" xr:uid="{64AA1B52-1F77-47DD-8B7F-93FD53401EF6}">
      <formula1>"CONSERVADOR,MODERADO,AGRESSIVO"</formula1>
    </dataValidation>
    <dataValidation type="decimal" operator="greaterThanOrEqual" error="Informe um valor numérico válido." promptTitle="Valor do aporte" prompt="Digite um valor mensal maior ou igual a zero." sqref="C35:D35" xr:uid="{4C95BFFA-DC24-49DB-9DF9-3741F0748B52}">
      <formula1>0</formula1>
      <formula2>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D88A-8D44-4980-93A1-7263EB7AF307}">
  <dimension ref="B1:E20"/>
  <sheetViews>
    <sheetView showGridLines="0" showRowColHeaders="0" workbookViewId="0">
      <selection activeCell="F13" sqref="F13"/>
    </sheetView>
  </sheetViews>
  <sheetFormatPr defaultRowHeight="14.4" x14ac:dyDescent="0.3"/>
  <cols>
    <col min="1" max="1" width="11.5546875" customWidth="1"/>
    <col min="2" max="2" width="28.77734375" bestFit="1" customWidth="1"/>
    <col min="3" max="3" width="16.6640625" customWidth="1"/>
    <col min="4" max="4" width="17.6640625" bestFit="1" customWidth="1"/>
    <col min="5" max="5" width="14.109375" customWidth="1"/>
    <col min="6" max="6" width="16" customWidth="1"/>
    <col min="7" max="7" width="15.44140625" bestFit="1" customWidth="1"/>
    <col min="8" max="8" width="5.21875" bestFit="1" customWidth="1"/>
  </cols>
  <sheetData>
    <row r="1" spans="2:5" ht="15" thickBot="1" x14ac:dyDescent="0.35"/>
    <row r="2" spans="2:5" ht="15" thickBot="1" x14ac:dyDescent="0.35">
      <c r="B2" s="10" t="s">
        <v>22</v>
      </c>
      <c r="C2" s="11" t="s">
        <v>10</v>
      </c>
      <c r="D2" s="11" t="s">
        <v>11</v>
      </c>
      <c r="E2" s="12" t="s">
        <v>21</v>
      </c>
    </row>
    <row r="3" spans="2:5" ht="15" thickBot="1" x14ac:dyDescent="0.35">
      <c r="B3" s="13" t="str">
        <f t="shared" ref="B3:B8" si="0">$C$3&amp;"-"&amp;D3</f>
        <v>Conservador-PAPEL</v>
      </c>
      <c r="C3" s="7" t="s">
        <v>20</v>
      </c>
      <c r="D3" s="7" t="s">
        <v>14</v>
      </c>
      <c r="E3" s="14">
        <v>0.3</v>
      </c>
    </row>
    <row r="4" spans="2:5" ht="15" thickBot="1" x14ac:dyDescent="0.35">
      <c r="B4" s="13" t="str">
        <f t="shared" si="0"/>
        <v>Conservador-TIJOLO</v>
      </c>
      <c r="C4" s="7" t="s">
        <v>20</v>
      </c>
      <c r="D4" s="7" t="s">
        <v>15</v>
      </c>
      <c r="E4" s="14">
        <v>0.5</v>
      </c>
    </row>
    <row r="5" spans="2:5" ht="15" thickBot="1" x14ac:dyDescent="0.35">
      <c r="B5" s="13" t="str">
        <f t="shared" si="0"/>
        <v>Conservador-HÍBRIDOS</v>
      </c>
      <c r="C5" s="7" t="s">
        <v>20</v>
      </c>
      <c r="D5" s="7" t="s">
        <v>16</v>
      </c>
      <c r="E5" s="14">
        <v>0.1</v>
      </c>
    </row>
    <row r="6" spans="2:5" ht="15" thickBot="1" x14ac:dyDescent="0.35">
      <c r="B6" s="13" t="str">
        <f t="shared" si="0"/>
        <v>Conservador-FOFs</v>
      </c>
      <c r="C6" s="7" t="s">
        <v>20</v>
      </c>
      <c r="D6" s="7" t="s">
        <v>19</v>
      </c>
      <c r="E6" s="14">
        <v>0.1</v>
      </c>
    </row>
    <row r="7" spans="2:5" ht="15" thickBot="1" x14ac:dyDescent="0.35">
      <c r="B7" s="13" t="str">
        <f t="shared" si="0"/>
        <v>Conservador-DESENVOLVIMENTO</v>
      </c>
      <c r="C7" s="7" t="s">
        <v>20</v>
      </c>
      <c r="D7" s="7" t="s">
        <v>17</v>
      </c>
      <c r="E7" s="14">
        <v>0</v>
      </c>
    </row>
    <row r="8" spans="2:5" ht="15" thickBot="1" x14ac:dyDescent="0.35">
      <c r="B8" s="13" t="str">
        <f t="shared" si="0"/>
        <v>Conservador-HOTELARIAS</v>
      </c>
      <c r="C8" s="7" t="s">
        <v>20</v>
      </c>
      <c r="D8" s="7" t="s">
        <v>18</v>
      </c>
      <c r="E8" s="14">
        <v>0</v>
      </c>
    </row>
    <row r="9" spans="2:5" ht="15" thickBot="1" x14ac:dyDescent="0.35">
      <c r="B9" s="15" t="str">
        <f t="shared" ref="B9:B14" si="1">$C$9&amp;"-"&amp;D9</f>
        <v>Moderado-PAPEL</v>
      </c>
      <c r="C9" s="8" t="s">
        <v>23</v>
      </c>
      <c r="D9" s="8" t="s">
        <v>14</v>
      </c>
      <c r="E9" s="16">
        <v>0.32</v>
      </c>
    </row>
    <row r="10" spans="2:5" ht="15" thickBot="1" x14ac:dyDescent="0.35">
      <c r="B10" s="15" t="str">
        <f t="shared" si="1"/>
        <v>Moderado-TIJOLO</v>
      </c>
      <c r="C10" s="8" t="s">
        <v>23</v>
      </c>
      <c r="D10" s="8" t="s">
        <v>15</v>
      </c>
      <c r="E10" s="16">
        <v>0.35</v>
      </c>
    </row>
    <row r="11" spans="2:5" ht="15" thickBot="1" x14ac:dyDescent="0.35">
      <c r="B11" s="15" t="str">
        <f t="shared" si="1"/>
        <v>Moderado-HÍBRIDOS</v>
      </c>
      <c r="C11" s="8" t="s">
        <v>23</v>
      </c>
      <c r="D11" s="8" t="s">
        <v>16</v>
      </c>
      <c r="E11" s="16">
        <v>0.08</v>
      </c>
    </row>
    <row r="12" spans="2:5" ht="15" thickBot="1" x14ac:dyDescent="0.35">
      <c r="B12" s="15" t="str">
        <f t="shared" si="1"/>
        <v>Moderado-FOFs</v>
      </c>
      <c r="C12" s="8" t="s">
        <v>23</v>
      </c>
      <c r="D12" s="8" t="s">
        <v>19</v>
      </c>
      <c r="E12" s="16">
        <v>0.05</v>
      </c>
    </row>
    <row r="13" spans="2:5" ht="15" thickBot="1" x14ac:dyDescent="0.35">
      <c r="B13" s="15" t="str">
        <f t="shared" si="1"/>
        <v>Moderado-DESENVOLVIMENTO</v>
      </c>
      <c r="C13" s="8" t="s">
        <v>23</v>
      </c>
      <c r="D13" s="8" t="s">
        <v>17</v>
      </c>
      <c r="E13" s="16">
        <v>0.1</v>
      </c>
    </row>
    <row r="14" spans="2:5" ht="15" thickBot="1" x14ac:dyDescent="0.35">
      <c r="B14" s="15" t="str">
        <f t="shared" si="1"/>
        <v>Moderado-HOTELARIAS</v>
      </c>
      <c r="C14" s="8" t="s">
        <v>23</v>
      </c>
      <c r="D14" s="8" t="s">
        <v>18</v>
      </c>
      <c r="E14" s="16">
        <v>0.1</v>
      </c>
    </row>
    <row r="15" spans="2:5" ht="15" thickBot="1" x14ac:dyDescent="0.35">
      <c r="B15" s="17" t="str">
        <f t="shared" ref="B15:B20" si="2">$C$15&amp;"-"&amp;D15</f>
        <v>Agressivo-PAPEL</v>
      </c>
      <c r="C15" s="9" t="s">
        <v>24</v>
      </c>
      <c r="D15" s="9" t="s">
        <v>14</v>
      </c>
      <c r="E15" s="18">
        <v>0.5</v>
      </c>
    </row>
    <row r="16" spans="2:5" ht="15" thickBot="1" x14ac:dyDescent="0.35">
      <c r="B16" s="17" t="str">
        <f t="shared" si="2"/>
        <v>Agressivo-TIJOLO</v>
      </c>
      <c r="C16" s="9" t="s">
        <v>24</v>
      </c>
      <c r="D16" s="9" t="s">
        <v>15</v>
      </c>
      <c r="E16" s="18">
        <v>0.1</v>
      </c>
    </row>
    <row r="17" spans="2:5" ht="15" thickBot="1" x14ac:dyDescent="0.35">
      <c r="B17" s="17" t="str">
        <f t="shared" si="2"/>
        <v>Agressivo-HÍBRIDOS</v>
      </c>
      <c r="C17" s="9" t="s">
        <v>24</v>
      </c>
      <c r="D17" s="9" t="s">
        <v>16</v>
      </c>
      <c r="E17" s="18">
        <v>0.05</v>
      </c>
    </row>
    <row r="18" spans="2:5" ht="15" thickBot="1" x14ac:dyDescent="0.35">
      <c r="B18" s="17" t="str">
        <f t="shared" si="2"/>
        <v>Agressivo-FOFs</v>
      </c>
      <c r="C18" s="9" t="s">
        <v>24</v>
      </c>
      <c r="D18" s="9" t="s">
        <v>19</v>
      </c>
      <c r="E18" s="18">
        <v>0.05</v>
      </c>
    </row>
    <row r="19" spans="2:5" ht="15" thickBot="1" x14ac:dyDescent="0.35">
      <c r="B19" s="17" t="str">
        <f t="shared" si="2"/>
        <v>Agressivo-DESENVOLVIMENTO</v>
      </c>
      <c r="C19" s="9" t="s">
        <v>24</v>
      </c>
      <c r="D19" s="9" t="s">
        <v>17</v>
      </c>
      <c r="E19" s="18">
        <v>0.2</v>
      </c>
    </row>
    <row r="20" spans="2:5" ht="15" thickBot="1" x14ac:dyDescent="0.35">
      <c r="B20" s="19" t="str">
        <f t="shared" si="2"/>
        <v>Agressivo-HOTELARIAS</v>
      </c>
      <c r="C20" s="20" t="s">
        <v>24</v>
      </c>
      <c r="D20" s="20" t="s">
        <v>18</v>
      </c>
      <c r="E20" s="21">
        <v>0.1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18</vt:i4>
      </vt:variant>
    </vt:vector>
  </HeadingPairs>
  <TitlesOfParts>
    <vt:vector size="20" baseType="lpstr">
      <vt:lpstr>APP</vt:lpstr>
      <vt:lpstr>Base de dados</vt:lpstr>
      <vt:lpstr>Aporte</vt:lpstr>
      <vt:lpstr>dividendos_mensais</vt:lpstr>
      <vt:lpstr>investimento_mensal_A</vt:lpstr>
      <vt:lpstr>investimento_mensal_B</vt:lpstr>
      <vt:lpstr>patrimonio</vt:lpstr>
      <vt:lpstr>patrimonio_final_A</vt:lpstr>
      <vt:lpstr>patrimonio_final_B</vt:lpstr>
      <vt:lpstr>Prazo_anos_A</vt:lpstr>
      <vt:lpstr>Prazo_anos_B</vt:lpstr>
      <vt:lpstr>qtd_anos</vt:lpstr>
      <vt:lpstr>Rendimento_carteira</vt:lpstr>
      <vt:lpstr>salario</vt:lpstr>
      <vt:lpstr>sugestao_investimento</vt:lpstr>
      <vt:lpstr>taxa_mensal</vt:lpstr>
      <vt:lpstr>taxa_mensal_A</vt:lpstr>
      <vt:lpstr>taxa_mensal_B</vt:lpstr>
      <vt:lpstr>Total_aportado_A</vt:lpstr>
      <vt:lpstr>Total_aportado_B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Alves</dc:creator>
  <cp:lastModifiedBy>Leticia Alves</cp:lastModifiedBy>
  <cp:lastPrinted>2026-09-05T18:55:18Z</cp:lastPrinted>
  <dcterms:created xsi:type="dcterms:W3CDTF">2026-09-03T21:52:11Z</dcterms:created>
  <dcterms:modified xsi:type="dcterms:W3CDTF">2026-09-10T22:07:59Z</dcterms:modified>
</cp:coreProperties>
</file>